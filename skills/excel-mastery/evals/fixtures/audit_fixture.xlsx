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Transaksi</t>
        </is>
      </c>
      <c r="B1" t="inlineStr">
        <is>
          <t>Cabang</t>
        </is>
      </c>
      <c r="C1" t="inlineStr">
        <is>
          <t>Nominal</t>
        </is>
      </c>
      <c r="D1" t="inlineStr">
        <is>
          <t>Tanggal</t>
        </is>
      </c>
    </row>
    <row r="2">
      <c r="A2" t="inlineStr">
        <is>
          <t>TRX-2026-0001</t>
        </is>
      </c>
      <c r="B2" t="inlineStr">
        <is>
          <t>Jakarta</t>
        </is>
      </c>
      <c r="C2" t="n">
        <v>150000</v>
      </c>
      <c r="D2" s="1" t="n">
        <v>46266</v>
      </c>
      <c r="F2">
        <f>VLOOKUP(A2,Master!A:B,2)</f>
        <v/>
      </c>
    </row>
    <row r="3">
      <c r="A3" t="inlineStr">
        <is>
          <t>TRX-2026-0002</t>
        </is>
      </c>
      <c r="B3" t="inlineStr">
        <is>
          <t>Bandung</t>
        </is>
      </c>
      <c r="C3" t="n">
        <v>200000</v>
      </c>
      <c r="D3" s="1" t="n">
        <v>46266</v>
      </c>
      <c r="F3">
        <f>SUMIFS(C:C,B:B,"Bandung")</f>
        <v/>
      </c>
    </row>
    <row r="4">
      <c r="A4" t="inlineStr">
        <is>
          <t>TRX-2026-0003</t>
        </is>
      </c>
      <c r="B4" t="inlineStr">
        <is>
          <t>Surabaya</t>
        </is>
      </c>
      <c r="C4" t="n">
        <v>175000</v>
      </c>
      <c r="D4" s="1" t="n">
        <v>46267</v>
      </c>
      <c r="F4">
        <f>XLOOKUP(A2,Master!A:A,Master!C:C,"x",0,2)</f>
        <v/>
      </c>
    </row>
    <row r="5">
      <c r="A5" t="inlineStr">
        <is>
          <t>TRX-2026-0004</t>
        </is>
      </c>
      <c r="B5" t="inlineStr">
        <is>
          <t xml:space="preserve">Bandung </t>
        </is>
      </c>
      <c r="C5" t="n">
        <v>220000</v>
      </c>
      <c r="D5" s="1" t="n">
        <v>46267</v>
      </c>
      <c r="F5">
        <f>IF(A2="x",1,IF(B2="y",2,IF(C2&gt;0,3,0)))</f>
        <v/>
      </c>
    </row>
    <row r="6">
      <c r="A6" t="inlineStr">
        <is>
          <t>TRX-2026-0005</t>
        </is>
      </c>
      <c r="B6" t="inlineStr">
        <is>
          <t>Jakarta</t>
        </is>
      </c>
      <c r="C6" t="n">
        <v>300000</v>
      </c>
      <c r="D6" s="1" t="n">
        <v>46268</v>
      </c>
      <c r="F6">
        <f>SUMIFS(C2:C100,E2:E99,"x")</f>
        <v/>
      </c>
    </row>
    <row r="7">
      <c r="A7" t="inlineStr">
        <is>
          <t>TRX-2026-0006</t>
        </is>
      </c>
      <c r="B7" t="inlineStr">
        <is>
          <t>bandung</t>
        </is>
      </c>
      <c r="C7" t="n">
        <v>125000</v>
      </c>
      <c r="D7" s="1" t="n">
        <v>46268</v>
      </c>
      <c r="F7">
        <f>COUNTIFS(A2:A100,"&gt;=01/01/2026")</f>
        <v/>
      </c>
    </row>
    <row r="8">
      <c r="A8" t="inlineStr">
        <is>
          <t>TRX-2026-0007</t>
        </is>
      </c>
      <c r="B8" t="inlineStr">
        <is>
          <t>Surabaya</t>
        </is>
      </c>
      <c r="C8" t="inlineStr">
        <is>
          <t>250000</t>
        </is>
      </c>
      <c r="D8" s="1" t="n">
        <v>46269</v>
      </c>
      <c r="F8">
        <f>INDIRECT("Sheet"&amp;A2)</f>
        <v/>
      </c>
    </row>
    <row r="9">
      <c r="A9" t="inlineStr">
        <is>
          <t>TRX-2026-0008</t>
        </is>
      </c>
      <c r="B9" t="inlineStr">
        <is>
          <t>Jakarta</t>
        </is>
      </c>
      <c r="C9" t="n">
        <v>180000</v>
      </c>
      <c r="D9" s="1" t="n">
        <v>46269</v>
      </c>
      <c r="F9">
        <f>XLOOKUP(A2,Master!A2:A100,Master!C2:C100,"x",-1)</f>
        <v/>
      </c>
    </row>
    <row r="10">
      <c r="A10" t="inlineStr"/>
      <c r="B10" t="inlineStr">
        <is>
          <t>Bandung</t>
        </is>
      </c>
      <c r="C10" t="n">
        <v>90000</v>
      </c>
      <c r="D10" s="1" t="n">
        <v>46270</v>
      </c>
    </row>
    <row r="11">
      <c r="A11" t="inlineStr">
        <is>
          <t>TRX-2026-0009</t>
        </is>
      </c>
      <c r="B11" t="inlineStr">
        <is>
          <t>Jakarta</t>
        </is>
      </c>
      <c r="C11" t="n">
        <v>210000</v>
      </c>
      <c r="D11" s="1" t="n">
        <v>46270</v>
      </c>
    </row>
    <row r="12">
      <c r="A12" t="inlineStr">
        <is>
          <t>TRX-2026-0010</t>
        </is>
      </c>
      <c r="B12" t="inlineStr">
        <is>
          <t>Surabaya</t>
        </is>
      </c>
      <c r="C12" t="n">
        <v>195000</v>
      </c>
      <c r="D12" s="1" t="n">
        <v>46271</v>
      </c>
    </row>
    <row r="13">
      <c r="A13" t="inlineStr">
        <is>
          <t>TRX-2026-0005</t>
        </is>
      </c>
      <c r="B13" t="inlineStr">
        <is>
          <t>Jakarta</t>
        </is>
      </c>
      <c r="C13" t="n">
        <v>300000</v>
      </c>
      <c r="D13" s="1" t="n">
        <v>46271</v>
      </c>
    </row>
    <row r="14">
      <c r="A14" t="inlineStr">
        <is>
          <t>TRX-2026-0011</t>
        </is>
      </c>
      <c r="B14" t="inlineStr">
        <is>
          <t>Bandung</t>
        </is>
      </c>
      <c r="C14" t="inlineStr">
        <is>
          <t>175000</t>
        </is>
      </c>
      <c r="D14" s="1" t="n">
        <v>46272</v>
      </c>
    </row>
    <row r="15">
      <c r="A15" t="inlineStr">
        <is>
          <t>TRX-2026-0012</t>
        </is>
      </c>
      <c r="B15" t="inlineStr">
        <is>
          <t>Jakarta</t>
        </is>
      </c>
      <c r="C15" t="n">
        <v>240000</v>
      </c>
      <c r="D15" s="1" t="n">
        <v>46273</v>
      </c>
    </row>
    <row r="16">
      <c r="A16" t="inlineStr">
        <is>
          <t>TRX-2026-0013</t>
        </is>
      </c>
      <c r="B16" t="inlineStr">
        <is>
          <t>Surabaya</t>
        </is>
      </c>
      <c r="C16" t="n">
        <v>160000</v>
      </c>
      <c r="D16" s="1" t="n">
        <v>46273</v>
      </c>
    </row>
    <row r="17">
      <c r="A17" t="inlineStr"/>
      <c r="B17" t="inlineStr">
        <is>
          <t>Jakarta</t>
        </is>
      </c>
      <c r="C17" t="n">
        <v>110000</v>
      </c>
      <c r="D17" s="1" t="n">
        <v>46274</v>
      </c>
    </row>
    <row r="18">
      <c r="A18" t="inlineStr">
        <is>
          <t>TRX-2026-0014</t>
        </is>
      </c>
      <c r="B18" t="inlineStr">
        <is>
          <t>Bandung</t>
        </is>
      </c>
      <c r="C18" t="n">
        <v>230000</v>
      </c>
      <c r="D18" s="1" t="n">
        <v>46274</v>
      </c>
    </row>
    <row r="19">
      <c r="A19" t="inlineStr">
        <is>
          <t>TRX-2026-0015</t>
        </is>
      </c>
      <c r="B19" t="inlineStr">
        <is>
          <t>Jakarta</t>
        </is>
      </c>
      <c r="C19" t="inlineStr">
        <is>
          <t>320000</t>
        </is>
      </c>
      <c r="D19" s="1" t="n">
        <v>46275</v>
      </c>
    </row>
    <row r="20">
      <c r="A20" t="inlineStr">
        <is>
          <t>TRX-2026-0016</t>
        </is>
      </c>
      <c r="B20" t="inlineStr">
        <is>
          <t>Surabaya</t>
        </is>
      </c>
      <c r="C20" t="n">
        <v>140000</v>
      </c>
      <c r="D20" s="1" t="n">
        <v>46275</v>
      </c>
    </row>
    <row r="21">
      <c r="A21" t="inlineStr">
        <is>
          <t>TRX-2026-0017</t>
        </is>
      </c>
      <c r="B21" t="inlineStr">
        <is>
          <t xml:space="preserve">Bandung </t>
        </is>
      </c>
      <c r="C21" t="n">
        <v>190000</v>
      </c>
      <c r="D21" s="1" t="n">
        <v>46276</v>
      </c>
    </row>
    <row r="22">
      <c r="A22" t="inlineStr">
        <is>
          <t>TRX-2026-0018</t>
        </is>
      </c>
      <c r="B22" t="inlineStr">
        <is>
          <t>Jakarta</t>
        </is>
      </c>
      <c r="C22" t="n">
        <v>275000</v>
      </c>
      <c r="D22" s="1" t="n">
        <v>46276</v>
      </c>
    </row>
    <row r="23">
      <c r="A23" t="inlineStr">
        <is>
          <t>TRX-2026-0019</t>
        </is>
      </c>
      <c r="B23" t="inlineStr">
        <is>
          <t>Surabaya</t>
        </is>
      </c>
      <c r="C23" t="n">
        <v>155000</v>
      </c>
      <c r="D23" s="1" t="n">
        <v>46277</v>
      </c>
    </row>
    <row r="24">
      <c r="A24" t="inlineStr">
        <is>
          <t>TRX-2026-0012</t>
        </is>
      </c>
      <c r="B24" t="inlineStr">
        <is>
          <t>Jakarta</t>
        </is>
      </c>
      <c r="C24" t="n">
        <v>240000</v>
      </c>
      <c r="D24" s="1" t="n">
        <v>46277</v>
      </c>
    </row>
    <row r="25">
      <c r="A25" t="inlineStr">
        <is>
          <t>TRX-2026-0020</t>
        </is>
      </c>
      <c r="B25" t="inlineStr">
        <is>
          <t>Bandung</t>
        </is>
      </c>
      <c r="C25" t="n">
        <v>205000</v>
      </c>
      <c r="D25" s="1" t="n">
        <v>46278</v>
      </c>
    </row>
    <row r="26">
      <c r="A26" t="inlineStr">
        <is>
          <t>TRX-2026-0021</t>
        </is>
      </c>
      <c r="B26" t="inlineStr">
        <is>
          <t>Jakarta</t>
        </is>
      </c>
      <c r="C26" t="n">
        <v>260000</v>
      </c>
      <c r="D26" s="1" t="n">
        <v>46278</v>
      </c>
    </row>
    <row r="27">
      <c r="A27" t="inlineStr">
        <is>
          <t>TRX-2026-0022</t>
        </is>
      </c>
      <c r="B27" t="inlineStr">
        <is>
          <t>Surabaya</t>
        </is>
      </c>
      <c r="C27" t="n">
        <v>170000</v>
      </c>
      <c r="D27" s="1" t="n">
        <v>46279</v>
      </c>
    </row>
    <row r="28">
      <c r="A28" t="inlineStr">
        <is>
          <t>TRX-2026-0023</t>
        </is>
      </c>
      <c r="B28" t="inlineStr">
        <is>
          <t>Bandung</t>
        </is>
      </c>
      <c r="C28" t="n">
        <v>215000</v>
      </c>
      <c r="D28" s="1" t="n">
        <v>46279</v>
      </c>
    </row>
    <row r="29">
      <c r="A29" t="inlineStr">
        <is>
          <t>TRX-2026-0024</t>
        </is>
      </c>
      <c r="B29" t="inlineStr">
        <is>
          <t>Jakarta</t>
        </is>
      </c>
      <c r="C29" t="n">
        <v>290000</v>
      </c>
      <c r="D29" s="1" t="n">
        <v>46280</v>
      </c>
    </row>
    <row r="30">
      <c r="A30" t="inlineStr">
        <is>
          <t>TRX-2026-0025</t>
        </is>
      </c>
      <c r="B30" t="inlineStr">
        <is>
          <t>Surabaya</t>
        </is>
      </c>
      <c r="C30" t="n">
        <v>185000</v>
      </c>
      <c r="D30" s="1" t="n">
        <v>46280</v>
      </c>
    </row>
    <row r="31">
      <c r="A31" t="inlineStr">
        <is>
          <t>TRX-2026-0026</t>
        </is>
      </c>
      <c r="B31" t="inlineStr">
        <is>
          <t>Jakarta</t>
        </is>
      </c>
      <c r="C31" t="n">
        <v>225000</v>
      </c>
      <c r="D31" s="1" t="n">
        <v>46281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2026-10-08T11:57:21+00:00Z</dcterms:created>
  <dcterms:modified xmlns:dcterms="http://purl.org/dc/terms/" xmlns:xsi="http://www.w3.org/2001/XMLSchema-instance" xsi:type="dcterms:W3CDTF">2026-10-08T11:57:21+00:00Z</dcterms:modified>
</cp:coreProperties>
</file>